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ev\revrec-contract-reviewer\recalc\"/>
    </mc:Choice>
  </mc:AlternateContent>
  <xr:revisionPtr revIDLastSave="0" documentId="13_ncr:1_{1E863E03-C07F-48D5-B114-0854314DD36B}" xr6:coauthVersionLast="47" xr6:coauthVersionMax="47" xr10:uidLastSave="{00000000-0000-0000-0000-000000000000}"/>
  <bookViews>
    <workbookView xWindow="3820" yWindow="2800" windowWidth="4310" windowHeight="7400" xr2:uid="{00000000-000D-0000-FFFF-FFFF00000000}"/>
  </bookViews>
  <sheets>
    <sheet name="recalc" sheetId="1" r:id="rId1"/>
    <sheet name="helix" sheetId="2" r:id="rId2"/>
    <sheet name="calderwood-2025" sheetId="3" r:id="rId3"/>
    <sheet name="larkspu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4" l="1"/>
  <c r="B24" i="4"/>
  <c r="C23" i="4"/>
  <c r="B23" i="4"/>
  <c r="C22" i="4"/>
  <c r="B22" i="4"/>
  <c r="B19" i="4"/>
  <c r="B18" i="4"/>
  <c r="F16" i="4"/>
  <c r="F15" i="4"/>
  <c r="F14" i="4"/>
  <c r="F13" i="4"/>
  <c r="F12" i="4"/>
  <c r="F10" i="4"/>
  <c r="F9" i="4"/>
  <c r="F8" i="4"/>
  <c r="F7" i="4"/>
  <c r="F6" i="4"/>
  <c r="F5" i="4"/>
  <c r="F4" i="4"/>
  <c r="C24" i="3"/>
  <c r="B24" i="3"/>
  <c r="C23" i="3"/>
  <c r="B23" i="3"/>
  <c r="C22" i="3"/>
  <c r="B22" i="3"/>
  <c r="B19" i="3"/>
  <c r="B18" i="3"/>
  <c r="F16" i="3"/>
  <c r="F15" i="3"/>
  <c r="F14" i="3"/>
  <c r="F13" i="3"/>
  <c r="F12" i="3"/>
  <c r="F10" i="3"/>
  <c r="F9" i="3"/>
  <c r="F8" i="3"/>
  <c r="F7" i="3"/>
  <c r="F6" i="3"/>
  <c r="F5" i="3"/>
  <c r="F4" i="3"/>
  <c r="C22" i="2"/>
  <c r="B22" i="2"/>
  <c r="C21" i="2"/>
  <c r="B21" i="2"/>
  <c r="B18" i="2"/>
  <c r="B17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<sst xmlns="http://schemas.openxmlformats.org/spreadsheetml/2006/main" count="297" uniqueCount="70">
  <si>
    <t>doc_id</t>
  </si>
  <si>
    <t>field</t>
  </si>
  <si>
    <t>my_value</t>
  </si>
  <si>
    <t>page</t>
  </si>
  <si>
    <t>clause</t>
  </si>
  <si>
    <t>nimbus-of-helix</t>
  </si>
  <si>
    <t>customer</t>
  </si>
  <si>
    <t>Helix Robotics Limited</t>
  </si>
  <si>
    <t>Preamble</t>
  </si>
  <si>
    <t>supplier</t>
  </si>
  <si>
    <t>Nimbus Analytics Ltd</t>
  </si>
  <si>
    <t>agreement_type</t>
  </si>
  <si>
    <t>order_form</t>
  </si>
  <si>
    <t>Preamble (ORDER FORM NAL-2025-0088)</t>
  </si>
  <si>
    <t>currency</t>
  </si>
  <si>
    <t>GBP</t>
  </si>
  <si>
    <t>1 Services and Fees</t>
  </si>
  <si>
    <t>effective_date</t>
  </si>
  <si>
    <t>2025-06-12</t>
  </si>
  <si>
    <t>Preamble (made on 12 June 2025)</t>
  </si>
  <si>
    <t>stated_term_months</t>
  </si>
  <si>
    <t>termination_for_convenience</t>
  </si>
  <si>
    <t>3 Termination</t>
  </si>
  <si>
    <t>termination_notice_days</t>
  </si>
  <si>
    <t>net_days</t>
  </si>
  <si>
    <t>4 Payment</t>
  </si>
  <si>
    <t>total_fixed_consideration</t>
  </si>
  <si>
    <t>obligation:saas_subscription</t>
  </si>
  <si>
    <t>obligation:support</t>
  </si>
  <si>
    <t>nimbus-of-calderwood-2025</t>
  </si>
  <si>
    <t>Calderwood Logistics Group, Inc.</t>
  </si>
  <si>
    <t>Nimbus Analytics, Inc.</t>
  </si>
  <si>
    <t>Preamble (ORDER FORM NA-OF-2025-0231, under the MSA of 15 Jan 2025)</t>
  </si>
  <si>
    <t>USD</t>
  </si>
  <si>
    <t>2 Products and Services</t>
  </si>
  <si>
    <t>2025-03-03</t>
  </si>
  <si>
    <t>Preamble (entered into as of March 3, 2025)</t>
  </si>
  <si>
    <t>1 Subscription Term</t>
  </si>
  <si>
    <t>1 Subscription Term (may not terminate for convenience)</t>
  </si>
  <si>
    <t>n/a — no termination for convenience</t>
  </si>
  <si>
    <t>6 Invoicing</t>
  </si>
  <si>
    <t>2 Products and Services (Fee column, not List Rate)</t>
  </si>
  <si>
    <t>obligation:implementation</t>
  </si>
  <si>
    <t>nimbus-of-larkspur</t>
  </si>
  <si>
    <t>Larkspur Health Systems, Inc.</t>
  </si>
  <si>
    <t>Preamble (ORDER FORM NA-OF-2025-0467)</t>
  </si>
  <si>
    <t>2025-11-17</t>
  </si>
  <si>
    <t>Preamble (entered into as of November 17, 2025)</t>
  </si>
  <si>
    <t>6 Invoicing and Termination (may not be terminated for convenience)</t>
  </si>
  <si>
    <t>6 Invoicing and Termination</t>
  </si>
  <si>
    <t>nimbus-of-helix — my reading vs the tool memo (rules extractor)</t>
  </si>
  <si>
    <t>tool_value</t>
  </si>
  <si>
    <t>match?</t>
  </si>
  <si>
    <t>note</t>
  </si>
  <si>
    <t>footing: obligations − total (must be 0)</t>
  </si>
  <si>
    <t>annualized subscription (price / months × 12)</t>
  </si>
  <si>
    <t>obligation</t>
  </si>
  <si>
    <t>price</t>
  </si>
  <si>
    <t>weight over total</t>
  </si>
  <si>
    <t>saas_subscription</t>
  </si>
  <si>
    <t>support</t>
  </si>
  <si>
    <t>nimbus-of-calderwood-2025 — my reading vs the tool memo (rules extractor)</t>
  </si>
  <si>
    <t>(absent)</t>
  </si>
  <si>
    <t>OK (no clause)</t>
  </si>
  <si>
    <t>no notice period: there is no termination for convenience</t>
  </si>
  <si>
    <t>fee column, not list rate</t>
  </si>
  <si>
    <t>implementation</t>
  </si>
  <si>
    <t>nimbus-of-larkspur — my reading vs the tool memo (rules extractor)</t>
  </si>
  <si>
    <t>tool left it blank; the contract says no termination for convenience</t>
  </si>
  <si>
    <t>PDF calls it "Configuration Services"; gold labels the kind "implementation"; the tool memo said "other"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</si>
</sst>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/>
  </sheetViews>
  <sheetFormatPr defaultRowHeight="14.5" x14ac:dyDescent="0.35"/>
  <cols>
    <col min="1" max="1" width="26" customWidth="1"/>
    <col min="2" max="2" width="30" customWidth="1"/>
    <col min="3" max="3" width="18" customWidth="1"/>
    <col min="4" max="4" width="8" customWidth="1"/>
    <col min="5" max="5" width="6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5">
      <c r="A3" t="s">
        <v>5</v>
      </c>
      <c r="B3" t="s">
        <v>9</v>
      </c>
      <c r="C3" t="s">
        <v>10</v>
      </c>
      <c r="D3">
        <v>1</v>
      </c>
      <c r="E3" t="s">
        <v>8</v>
      </c>
    </row>
    <row r="4" spans="1:5" x14ac:dyDescent="0.35">
      <c r="A4" t="s">
        <v>5</v>
      </c>
      <c r="B4" t="s">
        <v>11</v>
      </c>
      <c r="C4" t="s">
        <v>12</v>
      </c>
      <c r="D4">
        <v>1</v>
      </c>
      <c r="E4" t="s">
        <v>13</v>
      </c>
    </row>
    <row r="5" spans="1:5" x14ac:dyDescent="0.35">
      <c r="A5" t="s">
        <v>5</v>
      </c>
      <c r="B5" t="s">
        <v>14</v>
      </c>
      <c r="C5" t="s">
        <v>15</v>
      </c>
      <c r="D5">
        <v>1</v>
      </c>
      <c r="E5" t="s">
        <v>16</v>
      </c>
    </row>
    <row r="6" spans="1:5" x14ac:dyDescent="0.35">
      <c r="A6" t="s">
        <v>5</v>
      </c>
      <c r="B6" t="s">
        <v>17</v>
      </c>
      <c r="C6" t="s">
        <v>18</v>
      </c>
      <c r="D6">
        <v>1</v>
      </c>
      <c r="E6" t="s">
        <v>19</v>
      </c>
    </row>
    <row r="7" spans="1:5" x14ac:dyDescent="0.35">
      <c r="A7" t="s">
        <v>5</v>
      </c>
      <c r="B7" t="s">
        <v>20</v>
      </c>
      <c r="C7">
        <v>24</v>
      </c>
      <c r="D7">
        <v>1</v>
      </c>
      <c r="E7" t="s">
        <v>16</v>
      </c>
    </row>
    <row r="8" spans="1:5" x14ac:dyDescent="0.35">
      <c r="A8" t="s">
        <v>5</v>
      </c>
      <c r="B8" t="s">
        <v>21</v>
      </c>
      <c r="C8" t="b">
        <v>1</v>
      </c>
      <c r="D8">
        <v>1</v>
      </c>
      <c r="E8" t="s">
        <v>22</v>
      </c>
    </row>
    <row r="9" spans="1:5" x14ac:dyDescent="0.35">
      <c r="A9" t="s">
        <v>5</v>
      </c>
      <c r="B9" t="s">
        <v>23</v>
      </c>
      <c r="C9">
        <v>60</v>
      </c>
      <c r="D9">
        <v>1</v>
      </c>
      <c r="E9" t="s">
        <v>22</v>
      </c>
    </row>
    <row r="10" spans="1:5" x14ac:dyDescent="0.35">
      <c r="A10" t="s">
        <v>5</v>
      </c>
      <c r="B10" t="s">
        <v>24</v>
      </c>
      <c r="C10">
        <v>30</v>
      </c>
      <c r="D10">
        <v>1</v>
      </c>
      <c r="E10" t="s">
        <v>25</v>
      </c>
    </row>
    <row r="11" spans="1:5" x14ac:dyDescent="0.35">
      <c r="A11" t="s">
        <v>5</v>
      </c>
      <c r="B11" t="s">
        <v>26</v>
      </c>
      <c r="C11">
        <v>312000</v>
      </c>
      <c r="D11">
        <v>1</v>
      </c>
      <c r="E11" t="s">
        <v>16</v>
      </c>
    </row>
    <row r="12" spans="1:5" x14ac:dyDescent="0.35">
      <c r="A12" t="s">
        <v>5</v>
      </c>
      <c r="B12" t="s">
        <v>27</v>
      </c>
      <c r="C12">
        <v>288000</v>
      </c>
      <c r="D12">
        <v>1</v>
      </c>
      <c r="E12" t="s">
        <v>16</v>
      </c>
    </row>
    <row r="13" spans="1:5" x14ac:dyDescent="0.35">
      <c r="A13" t="s">
        <v>5</v>
      </c>
      <c r="B13" t="s">
        <v>28</v>
      </c>
      <c r="C13">
        <v>24000</v>
      </c>
      <c r="D13">
        <v>1</v>
      </c>
      <c r="E13" t="s">
        <v>16</v>
      </c>
    </row>
    <row r="14" spans="1:5" x14ac:dyDescent="0.35">
      <c r="A14" t="s">
        <v>29</v>
      </c>
      <c r="B14" t="s">
        <v>6</v>
      </c>
      <c r="C14" t="s">
        <v>30</v>
      </c>
      <c r="D14">
        <v>1</v>
      </c>
      <c r="E14" t="s">
        <v>8</v>
      </c>
    </row>
    <row r="15" spans="1:5" x14ac:dyDescent="0.35">
      <c r="A15" t="s">
        <v>29</v>
      </c>
      <c r="B15" t="s">
        <v>9</v>
      </c>
      <c r="C15" t="s">
        <v>31</v>
      </c>
      <c r="D15">
        <v>1</v>
      </c>
      <c r="E15" t="s">
        <v>8</v>
      </c>
    </row>
    <row r="16" spans="1:5" x14ac:dyDescent="0.35">
      <c r="A16" t="s">
        <v>29</v>
      </c>
      <c r="B16" t="s">
        <v>11</v>
      </c>
      <c r="C16" t="s">
        <v>12</v>
      </c>
      <c r="D16">
        <v>1</v>
      </c>
      <c r="E16" t="s">
        <v>32</v>
      </c>
    </row>
    <row r="17" spans="1:5" x14ac:dyDescent="0.35">
      <c r="A17" t="s">
        <v>29</v>
      </c>
      <c r="B17" t="s">
        <v>14</v>
      </c>
      <c r="C17" t="s">
        <v>33</v>
      </c>
      <c r="D17">
        <v>1</v>
      </c>
      <c r="E17" t="s">
        <v>34</v>
      </c>
    </row>
    <row r="18" spans="1:5" x14ac:dyDescent="0.35">
      <c r="A18" t="s">
        <v>29</v>
      </c>
      <c r="B18" t="s">
        <v>17</v>
      </c>
      <c r="C18" t="s">
        <v>35</v>
      </c>
      <c r="D18">
        <v>1</v>
      </c>
      <c r="E18" t="s">
        <v>36</v>
      </c>
    </row>
    <row r="19" spans="1:5" x14ac:dyDescent="0.35">
      <c r="A19" t="s">
        <v>29</v>
      </c>
      <c r="B19" t="s">
        <v>20</v>
      </c>
      <c r="C19">
        <v>36</v>
      </c>
      <c r="D19">
        <v>1</v>
      </c>
      <c r="E19" t="s">
        <v>37</v>
      </c>
    </row>
    <row r="20" spans="1:5" x14ac:dyDescent="0.35">
      <c r="A20" t="s">
        <v>29</v>
      </c>
      <c r="B20" t="s">
        <v>21</v>
      </c>
      <c r="C20" t="b">
        <v>0</v>
      </c>
      <c r="D20">
        <v>1</v>
      </c>
      <c r="E20" t="s">
        <v>38</v>
      </c>
    </row>
    <row r="21" spans="1:5" x14ac:dyDescent="0.35">
      <c r="A21" t="s">
        <v>29</v>
      </c>
      <c r="B21" t="s">
        <v>23</v>
      </c>
      <c r="D21">
        <v>1</v>
      </c>
      <c r="E21" t="s">
        <v>39</v>
      </c>
    </row>
    <row r="22" spans="1:5" x14ac:dyDescent="0.35">
      <c r="A22" t="s">
        <v>29</v>
      </c>
      <c r="B22" t="s">
        <v>24</v>
      </c>
      <c r="C22">
        <v>30</v>
      </c>
      <c r="D22">
        <v>2</v>
      </c>
      <c r="E22" t="s">
        <v>40</v>
      </c>
    </row>
    <row r="23" spans="1:5" x14ac:dyDescent="0.35">
      <c r="A23" t="s">
        <v>29</v>
      </c>
      <c r="B23" t="s">
        <v>26</v>
      </c>
      <c r="C23">
        <v>689000</v>
      </c>
      <c r="D23">
        <v>1</v>
      </c>
      <c r="E23" t="s">
        <v>34</v>
      </c>
    </row>
    <row r="24" spans="1:5" x14ac:dyDescent="0.35">
      <c r="A24" t="s">
        <v>29</v>
      </c>
      <c r="B24" t="s">
        <v>27</v>
      </c>
      <c r="C24">
        <v>540000</v>
      </c>
      <c r="D24">
        <v>1</v>
      </c>
      <c r="E24" t="s">
        <v>41</v>
      </c>
    </row>
    <row r="25" spans="1:5" x14ac:dyDescent="0.35">
      <c r="A25" t="s">
        <v>29</v>
      </c>
      <c r="B25" t="s">
        <v>42</v>
      </c>
      <c r="C25">
        <v>95000</v>
      </c>
      <c r="D25">
        <v>1</v>
      </c>
      <c r="E25" t="s">
        <v>41</v>
      </c>
    </row>
    <row r="26" spans="1:5" x14ac:dyDescent="0.35">
      <c r="A26" t="s">
        <v>29</v>
      </c>
      <c r="B26" t="s">
        <v>28</v>
      </c>
      <c r="C26">
        <v>54000</v>
      </c>
      <c r="D26">
        <v>1</v>
      </c>
      <c r="E26" t="s">
        <v>41</v>
      </c>
    </row>
    <row r="27" spans="1:5" x14ac:dyDescent="0.35">
      <c r="A27" t="s">
        <v>43</v>
      </c>
      <c r="B27" t="s">
        <v>6</v>
      </c>
      <c r="C27" t="s">
        <v>44</v>
      </c>
      <c r="D27">
        <v>1</v>
      </c>
      <c r="E27" t="s">
        <v>8</v>
      </c>
    </row>
    <row r="28" spans="1:5" x14ac:dyDescent="0.35">
      <c r="A28" t="s">
        <v>43</v>
      </c>
      <c r="B28" t="s">
        <v>9</v>
      </c>
      <c r="C28" t="s">
        <v>31</v>
      </c>
      <c r="D28">
        <v>1</v>
      </c>
      <c r="E28" t="s">
        <v>8</v>
      </c>
    </row>
    <row r="29" spans="1:5" x14ac:dyDescent="0.35">
      <c r="A29" t="s">
        <v>43</v>
      </c>
      <c r="B29" t="s">
        <v>11</v>
      </c>
      <c r="C29" t="s">
        <v>12</v>
      </c>
      <c r="D29">
        <v>1</v>
      </c>
      <c r="E29" t="s">
        <v>45</v>
      </c>
    </row>
    <row r="30" spans="1:5" x14ac:dyDescent="0.35">
      <c r="A30" t="s">
        <v>43</v>
      </c>
      <c r="B30" t="s">
        <v>14</v>
      </c>
      <c r="C30" t="s">
        <v>33</v>
      </c>
      <c r="D30">
        <v>1</v>
      </c>
      <c r="E30" t="s">
        <v>34</v>
      </c>
    </row>
    <row r="31" spans="1:5" x14ac:dyDescent="0.35">
      <c r="A31" t="s">
        <v>43</v>
      </c>
      <c r="B31" t="s">
        <v>17</v>
      </c>
      <c r="C31" t="s">
        <v>46</v>
      </c>
      <c r="D31">
        <v>1</v>
      </c>
      <c r="E31" t="s">
        <v>47</v>
      </c>
    </row>
    <row r="32" spans="1:5" x14ac:dyDescent="0.35">
      <c r="A32" t="s">
        <v>43</v>
      </c>
      <c r="B32" t="s">
        <v>20</v>
      </c>
      <c r="C32">
        <v>36</v>
      </c>
      <c r="D32">
        <v>1</v>
      </c>
      <c r="E32" t="s">
        <v>37</v>
      </c>
    </row>
    <row r="33" spans="1:5" x14ac:dyDescent="0.35">
      <c r="A33" t="s">
        <v>43</v>
      </c>
      <c r="B33" t="s">
        <v>21</v>
      </c>
      <c r="C33" t="b">
        <v>0</v>
      </c>
      <c r="D33">
        <v>1</v>
      </c>
      <c r="E33" t="s">
        <v>48</v>
      </c>
    </row>
    <row r="34" spans="1:5" x14ac:dyDescent="0.35">
      <c r="A34" t="s">
        <v>43</v>
      </c>
      <c r="B34" t="s">
        <v>23</v>
      </c>
      <c r="D34">
        <v>1</v>
      </c>
      <c r="E34" t="s">
        <v>39</v>
      </c>
    </row>
    <row r="35" spans="1:5" x14ac:dyDescent="0.35">
      <c r="A35" t="s">
        <v>43</v>
      </c>
      <c r="B35" t="s">
        <v>24</v>
      </c>
      <c r="C35">
        <v>30</v>
      </c>
      <c r="D35">
        <v>1</v>
      </c>
      <c r="E35" t="s">
        <v>49</v>
      </c>
    </row>
    <row r="36" spans="1:5" x14ac:dyDescent="0.35">
      <c r="A36" t="s">
        <v>43</v>
      </c>
      <c r="B36" t="s">
        <v>26</v>
      </c>
      <c r="C36">
        <v>459000</v>
      </c>
      <c r="D36">
        <v>1</v>
      </c>
      <c r="E36" t="s">
        <v>34</v>
      </c>
    </row>
    <row r="37" spans="1:5" x14ac:dyDescent="0.35">
      <c r="A37" t="s">
        <v>43</v>
      </c>
      <c r="B37" t="s">
        <v>27</v>
      </c>
      <c r="C37">
        <v>360000</v>
      </c>
      <c r="D37">
        <v>1</v>
      </c>
      <c r="E37" t="s">
        <v>34</v>
      </c>
    </row>
    <row r="38" spans="1:5" x14ac:dyDescent="0.35">
      <c r="A38" t="s">
        <v>43</v>
      </c>
      <c r="B38" t="s">
        <v>42</v>
      </c>
      <c r="C38">
        <v>45000</v>
      </c>
      <c r="D38">
        <v>1</v>
      </c>
      <c r="E38" t="s">
        <v>34</v>
      </c>
    </row>
    <row r="39" spans="1:5" x14ac:dyDescent="0.35">
      <c r="A39" t="s">
        <v>43</v>
      </c>
      <c r="B39" t="s">
        <v>28</v>
      </c>
      <c r="C39">
        <v>54000</v>
      </c>
      <c r="D39">
        <v>1</v>
      </c>
      <c r="E39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62" customWidth="1"/>
    <col min="5" max="5" width="22" customWidth="1"/>
    <col min="6" max="6" width="16" customWidth="1"/>
    <col min="7" max="7" width="70" customWidth="1"/>
  </cols>
  <sheetData>
    <row r="1" spans="1:7" x14ac:dyDescent="0.35">
      <c r="A1" s="1" t="s">
        <v>50</v>
      </c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51</v>
      </c>
      <c r="F3" s="1" t="s">
        <v>52</v>
      </c>
      <c r="G3" s="1" t="s">
        <v>53</v>
      </c>
    </row>
    <row r="4" spans="1:7" ht="29" x14ac:dyDescent="0.35">
      <c r="A4" s="2" t="s">
        <v>6</v>
      </c>
      <c r="B4" s="2" t="s">
        <v>7</v>
      </c>
      <c r="C4" s="2">
        <v>1</v>
      </c>
      <c r="D4" s="2" t="s">
        <v>8</v>
      </c>
      <c r="E4" s="2" t="s">
        <v>7</v>
      </c>
      <c r="F4" s="2" t="str">
        <f t="shared" ref="F4:F15" si="0">IF(B4=E4,"OK","DIFERENCIA")</f>
        <v>OK</v>
      </c>
      <c r="G4" s="2"/>
    </row>
    <row r="5" spans="1:7" ht="29" x14ac:dyDescent="0.35">
      <c r="A5" s="2" t="s">
        <v>9</v>
      </c>
      <c r="B5" s="2" t="s">
        <v>10</v>
      </c>
      <c r="C5" s="2">
        <v>1</v>
      </c>
      <c r="D5" s="2" t="s">
        <v>8</v>
      </c>
      <c r="E5" s="2" t="s">
        <v>10</v>
      </c>
      <c r="F5" s="2" t="str">
        <f t="shared" si="0"/>
        <v>OK</v>
      </c>
      <c r="G5" s="2"/>
    </row>
    <row r="6" spans="1:7" x14ac:dyDescent="0.35">
      <c r="A6" s="2" t="s">
        <v>11</v>
      </c>
      <c r="B6" s="2" t="s">
        <v>12</v>
      </c>
      <c r="C6" s="2">
        <v>1</v>
      </c>
      <c r="D6" s="2" t="s">
        <v>13</v>
      </c>
      <c r="E6" s="2" t="s">
        <v>12</v>
      </c>
      <c r="F6" s="2" t="str">
        <f t="shared" si="0"/>
        <v>OK</v>
      </c>
      <c r="G6" s="2"/>
    </row>
    <row r="7" spans="1:7" x14ac:dyDescent="0.35">
      <c r="A7" s="2" t="s">
        <v>14</v>
      </c>
      <c r="B7" s="2" t="s">
        <v>15</v>
      </c>
      <c r="C7" s="2">
        <v>1</v>
      </c>
      <c r="D7" s="2" t="s">
        <v>16</v>
      </c>
      <c r="E7" s="2" t="s">
        <v>15</v>
      </c>
      <c r="F7" s="2" t="str">
        <f t="shared" si="0"/>
        <v>OK</v>
      </c>
      <c r="G7" s="2"/>
    </row>
    <row r="8" spans="1:7" x14ac:dyDescent="0.35">
      <c r="A8" s="2" t="s">
        <v>17</v>
      </c>
      <c r="B8" s="2" t="s">
        <v>18</v>
      </c>
      <c r="C8" s="2">
        <v>1</v>
      </c>
      <c r="D8" s="2" t="s">
        <v>19</v>
      </c>
      <c r="E8" s="2" t="s">
        <v>18</v>
      </c>
      <c r="F8" s="2" t="str">
        <f t="shared" si="0"/>
        <v>OK</v>
      </c>
      <c r="G8" s="2"/>
    </row>
    <row r="9" spans="1:7" x14ac:dyDescent="0.35">
      <c r="A9" s="2" t="s">
        <v>20</v>
      </c>
      <c r="B9" s="2">
        <v>24</v>
      </c>
      <c r="C9" s="2">
        <v>1</v>
      </c>
      <c r="D9" s="2" t="s">
        <v>16</v>
      </c>
      <c r="E9" s="2">
        <v>24</v>
      </c>
      <c r="F9" s="2" t="str">
        <f t="shared" si="0"/>
        <v>OK</v>
      </c>
      <c r="G9" s="2"/>
    </row>
    <row r="10" spans="1:7" x14ac:dyDescent="0.35">
      <c r="A10" s="2" t="s">
        <v>21</v>
      </c>
      <c r="B10" s="2" t="b">
        <v>1</v>
      </c>
      <c r="C10" s="2">
        <v>1</v>
      </c>
      <c r="D10" s="2" t="s">
        <v>22</v>
      </c>
      <c r="E10" s="2" t="b">
        <v>1</v>
      </c>
      <c r="F10" s="2" t="str">
        <f t="shared" si="0"/>
        <v>OK</v>
      </c>
      <c r="G10" s="2"/>
    </row>
    <row r="11" spans="1:7" x14ac:dyDescent="0.35">
      <c r="A11" s="2" t="s">
        <v>23</v>
      </c>
      <c r="B11" s="2">
        <v>60</v>
      </c>
      <c r="C11" s="2">
        <v>1</v>
      </c>
      <c r="D11" s="2" t="s">
        <v>22</v>
      </c>
      <c r="E11" s="2">
        <v>60</v>
      </c>
      <c r="F11" s="2" t="str">
        <f t="shared" si="0"/>
        <v>OK</v>
      </c>
      <c r="G11" s="2"/>
    </row>
    <row r="12" spans="1:7" x14ac:dyDescent="0.35">
      <c r="A12" s="2" t="s">
        <v>24</v>
      </c>
      <c r="B12" s="2">
        <v>30</v>
      </c>
      <c r="C12" s="2">
        <v>1</v>
      </c>
      <c r="D12" s="2" t="s">
        <v>25</v>
      </c>
      <c r="E12" s="2">
        <v>30</v>
      </c>
      <c r="F12" s="2" t="str">
        <f t="shared" si="0"/>
        <v>OK</v>
      </c>
      <c r="G12" s="2"/>
    </row>
    <row r="13" spans="1:7" x14ac:dyDescent="0.35">
      <c r="A13" s="2" t="s">
        <v>26</v>
      </c>
      <c r="B13" s="2">
        <v>312000</v>
      </c>
      <c r="C13" s="2">
        <v>1</v>
      </c>
      <c r="D13" s="2" t="s">
        <v>16</v>
      </c>
      <c r="E13" s="2">
        <v>312000</v>
      </c>
      <c r="F13" s="2" t="str">
        <f t="shared" si="0"/>
        <v>OK</v>
      </c>
      <c r="G13" s="2"/>
    </row>
    <row r="14" spans="1:7" x14ac:dyDescent="0.35">
      <c r="A14" s="2" t="s">
        <v>27</v>
      </c>
      <c r="B14" s="2">
        <v>288000</v>
      </c>
      <c r="C14" s="2">
        <v>1</v>
      </c>
      <c r="D14" s="2" t="s">
        <v>16</v>
      </c>
      <c r="E14" s="2">
        <v>288000</v>
      </c>
      <c r="F14" s="2" t="str">
        <f t="shared" si="0"/>
        <v>OK</v>
      </c>
      <c r="G14" s="2"/>
    </row>
    <row r="15" spans="1:7" x14ac:dyDescent="0.35">
      <c r="A15" s="2" t="s">
        <v>28</v>
      </c>
      <c r="B15" s="2">
        <v>24000</v>
      </c>
      <c r="C15" s="2">
        <v>1</v>
      </c>
      <c r="D15" s="2" t="s">
        <v>16</v>
      </c>
      <c r="E15" s="2">
        <v>24000</v>
      </c>
      <c r="F15" s="2" t="str">
        <f t="shared" si="0"/>
        <v>OK</v>
      </c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3" t="s">
        <v>54</v>
      </c>
      <c r="B17" s="2">
        <f>SUM(B14:B15)-B13</f>
        <v>0</v>
      </c>
      <c r="C17" s="2"/>
      <c r="D17" s="2"/>
      <c r="E17" s="2"/>
      <c r="F17" s="2"/>
      <c r="G17" s="2"/>
    </row>
    <row r="18" spans="1:7" ht="29" x14ac:dyDescent="0.35">
      <c r="A18" s="3" t="s">
        <v>55</v>
      </c>
      <c r="B18" s="2">
        <f>B14/B9*12</f>
        <v>144000</v>
      </c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ht="29" x14ac:dyDescent="0.35">
      <c r="A20" s="3" t="s">
        <v>56</v>
      </c>
      <c r="B20" s="3" t="s">
        <v>57</v>
      </c>
      <c r="C20" s="3" t="s">
        <v>58</v>
      </c>
      <c r="D20" s="2"/>
      <c r="E20" s="2"/>
      <c r="F20" s="2"/>
      <c r="G20" s="2"/>
    </row>
    <row r="21" spans="1:7" x14ac:dyDescent="0.35">
      <c r="A21" s="2" t="s">
        <v>59</v>
      </c>
      <c r="B21" s="2">
        <f>B14</f>
        <v>288000</v>
      </c>
      <c r="C21" s="2">
        <f>B14/B13</f>
        <v>0.92307692307692313</v>
      </c>
      <c r="D21" s="2"/>
      <c r="E21" s="2"/>
      <c r="F21" s="2"/>
      <c r="G21" s="2"/>
    </row>
    <row r="22" spans="1:7" x14ac:dyDescent="0.35">
      <c r="A22" s="2" t="s">
        <v>60</v>
      </c>
      <c r="B22" s="2">
        <f>B15</f>
        <v>24000</v>
      </c>
      <c r="C22" s="2">
        <f>B15/B13</f>
        <v>7.6923076923076927E-2</v>
      </c>
      <c r="D22" s="2"/>
      <c r="E22" s="2"/>
      <c r="F22" s="2"/>
      <c r="G2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62" customWidth="1"/>
    <col min="5" max="5" width="22" customWidth="1"/>
    <col min="6" max="6" width="16" customWidth="1"/>
    <col min="7" max="7" width="70" customWidth="1"/>
  </cols>
  <sheetData>
    <row r="1" spans="1:7" x14ac:dyDescent="0.35">
      <c r="A1" s="1" t="s">
        <v>61</v>
      </c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51</v>
      </c>
      <c r="F3" s="1" t="s">
        <v>52</v>
      </c>
      <c r="G3" s="1" t="s">
        <v>53</v>
      </c>
    </row>
    <row r="4" spans="1:7" ht="43.5" x14ac:dyDescent="0.35">
      <c r="A4" s="2" t="s">
        <v>6</v>
      </c>
      <c r="B4" s="2" t="s">
        <v>30</v>
      </c>
      <c r="C4" s="2">
        <v>1</v>
      </c>
      <c r="D4" s="2" t="s">
        <v>8</v>
      </c>
      <c r="E4" s="2" t="s">
        <v>30</v>
      </c>
      <c r="F4" s="2" t="str">
        <f t="shared" ref="F4:F10" si="0">IF(B4=E4,"OK","DIFERENCIA")</f>
        <v>OK</v>
      </c>
      <c r="G4" s="2"/>
    </row>
    <row r="5" spans="1:7" ht="29" x14ac:dyDescent="0.35">
      <c r="A5" s="2" t="s">
        <v>9</v>
      </c>
      <c r="B5" s="2" t="s">
        <v>31</v>
      </c>
      <c r="C5" s="2">
        <v>1</v>
      </c>
      <c r="D5" s="2" t="s">
        <v>8</v>
      </c>
      <c r="E5" s="2" t="s">
        <v>31</v>
      </c>
      <c r="F5" s="2" t="str">
        <f t="shared" si="0"/>
        <v>OK</v>
      </c>
      <c r="G5" s="2"/>
    </row>
    <row r="6" spans="1:7" ht="29" x14ac:dyDescent="0.35">
      <c r="A6" s="2" t="s">
        <v>11</v>
      </c>
      <c r="B6" s="2" t="s">
        <v>12</v>
      </c>
      <c r="C6" s="2">
        <v>1</v>
      </c>
      <c r="D6" s="2" t="s">
        <v>32</v>
      </c>
      <c r="E6" s="2" t="s">
        <v>12</v>
      </c>
      <c r="F6" s="2" t="str">
        <f t="shared" si="0"/>
        <v>OK</v>
      </c>
      <c r="G6" s="2"/>
    </row>
    <row r="7" spans="1:7" x14ac:dyDescent="0.35">
      <c r="A7" s="2" t="s">
        <v>14</v>
      </c>
      <c r="B7" s="2" t="s">
        <v>33</v>
      </c>
      <c r="C7" s="2">
        <v>1</v>
      </c>
      <c r="D7" s="2" t="s">
        <v>34</v>
      </c>
      <c r="E7" s="2" t="s">
        <v>33</v>
      </c>
      <c r="F7" s="2" t="str">
        <f t="shared" si="0"/>
        <v>OK</v>
      </c>
      <c r="G7" s="2"/>
    </row>
    <row r="8" spans="1:7" x14ac:dyDescent="0.35">
      <c r="A8" s="2" t="s">
        <v>17</v>
      </c>
      <c r="B8" s="2" t="s">
        <v>35</v>
      </c>
      <c r="C8" s="2">
        <v>1</v>
      </c>
      <c r="D8" s="2" t="s">
        <v>36</v>
      </c>
      <c r="E8" s="2" t="s">
        <v>35</v>
      </c>
      <c r="F8" s="2" t="str">
        <f t="shared" si="0"/>
        <v>OK</v>
      </c>
      <c r="G8" s="2"/>
    </row>
    <row r="9" spans="1:7" x14ac:dyDescent="0.35">
      <c r="A9" s="2" t="s">
        <v>20</v>
      </c>
      <c r="B9" s="2">
        <v>36</v>
      </c>
      <c r="C9" s="2">
        <v>1</v>
      </c>
      <c r="D9" s="2" t="s">
        <v>37</v>
      </c>
      <c r="E9" s="2">
        <v>36</v>
      </c>
      <c r="F9" s="2" t="str">
        <f t="shared" si="0"/>
        <v>OK</v>
      </c>
      <c r="G9" s="2"/>
    </row>
    <row r="10" spans="1:7" x14ac:dyDescent="0.35">
      <c r="A10" s="2" t="s">
        <v>21</v>
      </c>
      <c r="B10" s="2" t="b">
        <v>0</v>
      </c>
      <c r="C10" s="2">
        <v>1</v>
      </c>
      <c r="D10" s="2" t="s">
        <v>38</v>
      </c>
      <c r="E10" s="2" t="b">
        <v>0</v>
      </c>
      <c r="F10" s="2" t="str">
        <f t="shared" si="0"/>
        <v>OK</v>
      </c>
      <c r="G10" s="2"/>
    </row>
    <row r="11" spans="1:7" x14ac:dyDescent="0.35">
      <c r="A11" s="2" t="s">
        <v>23</v>
      </c>
      <c r="B11" s="2"/>
      <c r="C11" s="2">
        <v>1</v>
      </c>
      <c r="D11" s="2" t="s">
        <v>39</v>
      </c>
      <c r="E11" s="2" t="s">
        <v>62</v>
      </c>
      <c r="F11" s="2" t="s">
        <v>63</v>
      </c>
      <c r="G11" s="2" t="s">
        <v>64</v>
      </c>
    </row>
    <row r="12" spans="1:7" x14ac:dyDescent="0.35">
      <c r="A12" s="2" t="s">
        <v>24</v>
      </c>
      <c r="B12" s="2">
        <v>30</v>
      </c>
      <c r="C12" s="2">
        <v>2</v>
      </c>
      <c r="D12" s="2" t="s">
        <v>40</v>
      </c>
      <c r="E12" s="2">
        <v>30</v>
      </c>
      <c r="F12" s="2" t="str">
        <f>IF(B12=E12,"OK","DIFERENCIA")</f>
        <v>OK</v>
      </c>
      <c r="G12" s="2"/>
    </row>
    <row r="13" spans="1:7" x14ac:dyDescent="0.35">
      <c r="A13" s="2" t="s">
        <v>26</v>
      </c>
      <c r="B13" s="2">
        <v>689000</v>
      </c>
      <c r="C13" s="2">
        <v>1</v>
      </c>
      <c r="D13" s="2" t="s">
        <v>34</v>
      </c>
      <c r="E13" s="2">
        <v>689000</v>
      </c>
      <c r="F13" s="2" t="str">
        <f>IF(B13=E13,"OK","DIFERENCIA")</f>
        <v>OK</v>
      </c>
      <c r="G13" s="2" t="s">
        <v>65</v>
      </c>
    </row>
    <row r="14" spans="1:7" x14ac:dyDescent="0.35">
      <c r="A14" s="2" t="s">
        <v>27</v>
      </c>
      <c r="B14" s="2">
        <v>540000</v>
      </c>
      <c r="C14" s="2">
        <v>1</v>
      </c>
      <c r="D14" s="2" t="s">
        <v>41</v>
      </c>
      <c r="E14" s="2">
        <v>540000</v>
      </c>
      <c r="F14" s="2" t="str">
        <f>IF(B14=E14,"OK","DIFERENCIA")</f>
        <v>OK</v>
      </c>
      <c r="G14" s="2"/>
    </row>
    <row r="15" spans="1:7" x14ac:dyDescent="0.35">
      <c r="A15" s="2" t="s">
        <v>42</v>
      </c>
      <c r="B15" s="2">
        <v>95000</v>
      </c>
      <c r="C15" s="2">
        <v>1</v>
      </c>
      <c r="D15" s="2" t="s">
        <v>41</v>
      </c>
      <c r="E15" s="2">
        <v>95000</v>
      </c>
      <c r="F15" s="2" t="str">
        <f>IF(B15=E15,"OK","DIFERENCIA")</f>
        <v>OK</v>
      </c>
      <c r="G15" s="2"/>
    </row>
    <row r="16" spans="1:7" x14ac:dyDescent="0.35">
      <c r="A16" s="2" t="s">
        <v>28</v>
      </c>
      <c r="B16" s="2">
        <v>54000</v>
      </c>
      <c r="C16" s="2">
        <v>1</v>
      </c>
      <c r="D16" s="2" t="s">
        <v>41</v>
      </c>
      <c r="E16" s="2">
        <v>54000</v>
      </c>
      <c r="F16" s="2" t="str">
        <f>IF(B16=E16,"OK","DIFERENCIA")</f>
        <v>OK</v>
      </c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3" t="s">
        <v>54</v>
      </c>
      <c r="B18" s="2">
        <f>SUM(B14:B16)-B13</f>
        <v>0</v>
      </c>
      <c r="C18" s="2"/>
      <c r="D18" s="2"/>
      <c r="E18" s="2"/>
      <c r="F18" s="2"/>
      <c r="G18" s="2"/>
    </row>
    <row r="19" spans="1:7" ht="29" x14ac:dyDescent="0.35">
      <c r="A19" s="3" t="s">
        <v>55</v>
      </c>
      <c r="B19" s="2">
        <f>B14/B9*12</f>
        <v>180000</v>
      </c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ht="29" x14ac:dyDescent="0.35">
      <c r="A21" s="3" t="s">
        <v>56</v>
      </c>
      <c r="B21" s="3" t="s">
        <v>57</v>
      </c>
      <c r="C21" s="3" t="s">
        <v>58</v>
      </c>
      <c r="D21" s="2"/>
      <c r="E21" s="2"/>
      <c r="F21" s="2"/>
      <c r="G21" s="2"/>
    </row>
    <row r="22" spans="1:7" x14ac:dyDescent="0.35">
      <c r="A22" s="2" t="s">
        <v>59</v>
      </c>
      <c r="B22" s="2">
        <f>B14</f>
        <v>540000</v>
      </c>
      <c r="C22" s="2">
        <f>B14/B13</f>
        <v>0.78374455732946302</v>
      </c>
      <c r="D22" s="2"/>
      <c r="E22" s="2"/>
      <c r="F22" s="2"/>
      <c r="G22" s="2"/>
    </row>
    <row r="23" spans="1:7" x14ac:dyDescent="0.35">
      <c r="A23" s="2" t="s">
        <v>66</v>
      </c>
      <c r="B23" s="2">
        <f>B15</f>
        <v>95000</v>
      </c>
      <c r="C23" s="2">
        <f>B15/B13</f>
        <v>0.13788098693759071</v>
      </c>
      <c r="D23" s="2"/>
      <c r="E23" s="2"/>
      <c r="F23" s="2"/>
      <c r="G23" s="2"/>
    </row>
    <row r="24" spans="1:7" x14ac:dyDescent="0.35">
      <c r="A24" s="2" t="s">
        <v>60</v>
      </c>
      <c r="B24" s="2">
        <f>B16</f>
        <v>54000</v>
      </c>
      <c r="C24" s="2">
        <f>B16/B13</f>
        <v>7.8374455732946297E-2</v>
      </c>
      <c r="D24" s="2"/>
      <c r="E24" s="2"/>
      <c r="F24" s="2"/>
      <c r="G24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10" customWidth="1"/>
    <col min="4" max="4" width="62" customWidth="1"/>
    <col min="5" max="5" width="22" customWidth="1"/>
    <col min="6" max="6" width="16" customWidth="1"/>
    <col min="7" max="7" width="70" customWidth="1"/>
  </cols>
  <sheetData>
    <row r="1" spans="1:7" x14ac:dyDescent="0.35">
      <c r="A1" s="1" t="s">
        <v>67</v>
      </c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51</v>
      </c>
      <c r="F3" s="1" t="s">
        <v>52</v>
      </c>
      <c r="G3" s="1" t="s">
        <v>53</v>
      </c>
    </row>
    <row r="4" spans="1:7" ht="29" x14ac:dyDescent="0.35">
      <c r="A4" s="2" t="s">
        <v>6</v>
      </c>
      <c r="B4" s="2" t="s">
        <v>44</v>
      </c>
      <c r="C4" s="2">
        <v>1</v>
      </c>
      <c r="D4" s="2" t="s">
        <v>8</v>
      </c>
      <c r="E4" s="2" t="s">
        <v>44</v>
      </c>
      <c r="F4" s="2" t="str">
        <f t="shared" ref="F4:F10" si="0">IF(B4=E4,"OK","DIFERENCIA")</f>
        <v>OK</v>
      </c>
      <c r="G4" s="2"/>
    </row>
    <row r="5" spans="1:7" ht="29" x14ac:dyDescent="0.35">
      <c r="A5" s="2" t="s">
        <v>9</v>
      </c>
      <c r="B5" s="2" t="s">
        <v>31</v>
      </c>
      <c r="C5" s="2">
        <v>1</v>
      </c>
      <c r="D5" s="2" t="s">
        <v>8</v>
      </c>
      <c r="E5" s="2" t="s">
        <v>31</v>
      </c>
      <c r="F5" s="2" t="str">
        <f t="shared" si="0"/>
        <v>OK</v>
      </c>
      <c r="G5" s="2"/>
    </row>
    <row r="6" spans="1:7" x14ac:dyDescent="0.35">
      <c r="A6" s="2" t="s">
        <v>11</v>
      </c>
      <c r="B6" s="2" t="s">
        <v>12</v>
      </c>
      <c r="C6" s="2">
        <v>1</v>
      </c>
      <c r="D6" s="2" t="s">
        <v>45</v>
      </c>
      <c r="E6" s="2" t="s">
        <v>12</v>
      </c>
      <c r="F6" s="2" t="str">
        <f t="shared" si="0"/>
        <v>OK</v>
      </c>
      <c r="G6" s="2"/>
    </row>
    <row r="7" spans="1:7" x14ac:dyDescent="0.35">
      <c r="A7" s="2" t="s">
        <v>14</v>
      </c>
      <c r="B7" s="2" t="s">
        <v>33</v>
      </c>
      <c r="C7" s="2">
        <v>1</v>
      </c>
      <c r="D7" s="2" t="s">
        <v>34</v>
      </c>
      <c r="E7" s="2" t="s">
        <v>33</v>
      </c>
      <c r="F7" s="2" t="str">
        <f t="shared" si="0"/>
        <v>OK</v>
      </c>
      <c r="G7" s="2"/>
    </row>
    <row r="8" spans="1:7" x14ac:dyDescent="0.35">
      <c r="A8" s="2" t="s">
        <v>17</v>
      </c>
      <c r="B8" s="2" t="s">
        <v>46</v>
      </c>
      <c r="C8" s="2">
        <v>1</v>
      </c>
      <c r="D8" s="2" t="s">
        <v>47</v>
      </c>
      <c r="E8" s="2" t="s">
        <v>46</v>
      </c>
      <c r="F8" s="2" t="str">
        <f t="shared" si="0"/>
        <v>OK</v>
      </c>
      <c r="G8" s="2"/>
    </row>
    <row r="9" spans="1:7" x14ac:dyDescent="0.35">
      <c r="A9" s="2" t="s">
        <v>20</v>
      </c>
      <c r="B9" s="2">
        <v>36</v>
      </c>
      <c r="C9" s="2">
        <v>1</v>
      </c>
      <c r="D9" s="2" t="s">
        <v>37</v>
      </c>
      <c r="E9" s="2">
        <v>36</v>
      </c>
      <c r="F9" s="2" t="str">
        <f t="shared" si="0"/>
        <v>OK</v>
      </c>
      <c r="G9" s="2"/>
    </row>
    <row r="10" spans="1:7" x14ac:dyDescent="0.35">
      <c r="A10" s="2" t="s">
        <v>21</v>
      </c>
      <c r="B10" s="2" t="b">
        <v>0</v>
      </c>
      <c r="C10" s="2">
        <v>1</v>
      </c>
      <c r="D10" s="2" t="s">
        <v>48</v>
      </c>
      <c r="E10" s="2" t="s">
        <v>62</v>
      </c>
      <c r="F10" s="2" t="str">
        <f t="shared" si="0"/>
        <v>DIFERENCIA</v>
      </c>
      <c r="G10" s="2" t="s">
        <v>68</v>
      </c>
    </row>
    <row r="11" spans="1:7" x14ac:dyDescent="0.35">
      <c r="A11" s="2" t="s">
        <v>23</v>
      </c>
      <c r="B11" s="2"/>
      <c r="C11" s="2">
        <v>1</v>
      </c>
      <c r="D11" s="2" t="s">
        <v>39</v>
      </c>
      <c r="E11" s="2" t="s">
        <v>62</v>
      </c>
      <c r="F11" s="2" t="s">
        <v>63</v>
      </c>
      <c r="G11" s="2" t="s">
        <v>64</v>
      </c>
    </row>
    <row r="12" spans="1:7" x14ac:dyDescent="0.35">
      <c r="A12" s="2" t="s">
        <v>24</v>
      </c>
      <c r="B12" s="2">
        <v>30</v>
      </c>
      <c r="C12" s="2">
        <v>1</v>
      </c>
      <c r="D12" s="2" t="s">
        <v>49</v>
      </c>
      <c r="E12" s="2">
        <v>30</v>
      </c>
      <c r="F12" s="2" t="str">
        <f>IF(B12=E12,"OK","DIFERENCIA")</f>
        <v>OK</v>
      </c>
      <c r="G12" s="2"/>
    </row>
    <row r="13" spans="1:7" x14ac:dyDescent="0.35">
      <c r="A13" s="2" t="s">
        <v>26</v>
      </c>
      <c r="B13" s="2">
        <v>459000</v>
      </c>
      <c r="C13" s="2">
        <v>1</v>
      </c>
      <c r="D13" s="2" t="s">
        <v>34</v>
      </c>
      <c r="E13" s="2">
        <v>459000</v>
      </c>
      <c r="F13" s="2" t="str">
        <f>IF(B13=E13,"OK","DIFERENCIA")</f>
        <v>OK</v>
      </c>
      <c r="G13" s="2"/>
    </row>
    <row r="14" spans="1:7" x14ac:dyDescent="0.35">
      <c r="A14" s="2" t="s">
        <v>27</v>
      </c>
      <c r="B14" s="2">
        <v>360000</v>
      </c>
      <c r="C14" s="2">
        <v>1</v>
      </c>
      <c r="D14" s="2" t="s">
        <v>34</v>
      </c>
      <c r="E14" s="2">
        <v>360000</v>
      </c>
      <c r="F14" s="2" t="str">
        <f>IF(B14=E14,"OK","DIFERENCIA")</f>
        <v>OK</v>
      </c>
      <c r="G14" s="2"/>
    </row>
    <row r="15" spans="1:7" ht="29" x14ac:dyDescent="0.35">
      <c r="A15" s="2" t="s">
        <v>42</v>
      </c>
      <c r="B15" s="2">
        <v>45000</v>
      </c>
      <c r="C15" s="2">
        <v>1</v>
      </c>
      <c r="D15" s="2" t="s">
        <v>34</v>
      </c>
      <c r="E15" s="2">
        <v>45000</v>
      </c>
      <c r="F15" s="2" t="str">
        <f>IF(B15=E15,"OK","DIFERENCIA")</f>
        <v>OK</v>
      </c>
      <c r="G15" s="2" t="s">
        <v>69</v>
      </c>
    </row>
    <row r="16" spans="1:7" x14ac:dyDescent="0.35">
      <c r="A16" s="2" t="s">
        <v>28</v>
      </c>
      <c r="B16" s="2">
        <v>54000</v>
      </c>
      <c r="C16" s="2">
        <v>1</v>
      </c>
      <c r="D16" s="2" t="s">
        <v>34</v>
      </c>
      <c r="E16" s="2">
        <v>54000</v>
      </c>
      <c r="F16" s="2" t="str">
        <f>IF(B16=E16,"OK","DIFERENCIA")</f>
        <v>OK</v>
      </c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3" t="s">
        <v>54</v>
      </c>
      <c r="B18" s="2">
        <f>SUM(B14:B16)-B13</f>
        <v>0</v>
      </c>
      <c r="C18" s="2"/>
      <c r="D18" s="2"/>
      <c r="E18" s="2"/>
      <c r="F18" s="2"/>
      <c r="G18" s="2"/>
    </row>
    <row r="19" spans="1:7" ht="29" x14ac:dyDescent="0.35">
      <c r="A19" s="3" t="s">
        <v>55</v>
      </c>
      <c r="B19" s="2">
        <f>B14/B9*12</f>
        <v>120000</v>
      </c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ht="29" x14ac:dyDescent="0.35">
      <c r="A21" s="3" t="s">
        <v>56</v>
      </c>
      <c r="B21" s="3" t="s">
        <v>57</v>
      </c>
      <c r="C21" s="3" t="s">
        <v>58</v>
      </c>
      <c r="D21" s="2"/>
      <c r="E21" s="2"/>
      <c r="F21" s="2"/>
      <c r="G21" s="2"/>
    </row>
    <row r="22" spans="1:7" x14ac:dyDescent="0.35">
      <c r="A22" s="2" t="s">
        <v>59</v>
      </c>
      <c r="B22" s="2">
        <f>B14</f>
        <v>360000</v>
      </c>
      <c r="C22" s="2">
        <f>B14/B13</f>
        <v>0.78431372549019607</v>
      </c>
      <c r="D22" s="2"/>
      <c r="E22" s="2"/>
      <c r="F22" s="2"/>
      <c r="G22" s="2"/>
    </row>
    <row r="23" spans="1:7" x14ac:dyDescent="0.35">
      <c r="A23" s="2" t="s">
        <v>66</v>
      </c>
      <c r="B23" s="2">
        <f>B15</f>
        <v>45000</v>
      </c>
      <c r="C23" s="2">
        <f>B15/B13</f>
        <v>9.8039215686274508E-2</v>
      </c>
      <c r="D23" s="2"/>
      <c r="E23" s="2"/>
      <c r="F23" s="2"/>
      <c r="G23" s="2"/>
    </row>
    <row r="24" spans="1:7" x14ac:dyDescent="0.35">
      <c r="A24" s="2" t="s">
        <v>60</v>
      </c>
      <c r="B24" s="2">
        <f>B16</f>
        <v>54000</v>
      </c>
      <c r="C24" s="2">
        <f>B16/B13</f>
        <v>0.11764705882352941</v>
      </c>
      <c r="D24" s="2"/>
      <c r="E24" s="2"/>
      <c r="F24" s="2"/>
      <c r="G2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recalc</vt:lpstr>
      <vt:lpstr>helix</vt:lpstr>
      <vt:lpstr>calderwood-2025</vt:lpstr>
      <vt:lpstr>larkspur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Señarís</cp:lastModifiedBy>
  <dcterms:created xsi:type="dcterms:W3CDTF">2026-10-28T11:14:27Z</dcterms:created>
  <dcterms:modified xsi:type="dcterms:W3CDTF">2026-10-28T11:14:35Z</dcterms:modified>
</cp:coreProperties>
</file>